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805" tabRatio="553"/>
  </bookViews>
  <sheets>
    <sheet name="1" sheetId="157" r:id="rId1"/>
    <sheet name="2" sheetId="158" r:id="rId2"/>
  </sheets>
  <definedNames>
    <definedName name="_xlnm.Print_Area" localSheetId="0">'1'!$A$1:$L$18</definedName>
    <definedName name="_xlnm.Print_Titles" localSheetId="0">'1'!$1:$5</definedName>
    <definedName name="_xlnm.Print_Area" localSheetId="1">'2'!$A$1:$M$28</definedName>
    <definedName name="_xlnm.Print_Titles" localSheetId="1">'2'!$1:$5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<sst xmlns="http://schemas.openxmlformats.org/spreadsheetml/2006/main" count="93" uniqueCount="50">
  <si>
    <t>征收资产清查评估明细表</t>
  </si>
  <si>
    <t xml:space="preserve">项目名称： </t>
  </si>
  <si>
    <t>被评估单位：</t>
  </si>
  <si>
    <t>评估基准日：</t>
  </si>
  <si>
    <t xml:space="preserve"> </t>
  </si>
  <si>
    <t>金额单位：人民币元</t>
  </si>
  <si>
    <t xml:space="preserve">现场勘察日： </t>
  </si>
  <si>
    <t>位置：</t>
  </si>
  <si>
    <t>构筑物补偿金额</t>
  </si>
  <si>
    <t>序号</t>
  </si>
  <si>
    <t>名称</t>
  </si>
  <si>
    <t>规格型号/结构</t>
  </si>
  <si>
    <t>单位</t>
  </si>
  <si>
    <t>数量</t>
  </si>
  <si>
    <t>重置单价</t>
  </si>
  <si>
    <t>重置价值</t>
  </si>
  <si>
    <t>成新率</t>
  </si>
  <si>
    <t>评估单价</t>
  </si>
  <si>
    <t>评估值</t>
  </si>
  <si>
    <t>备注</t>
  </si>
  <si>
    <t>小计</t>
  </si>
  <si>
    <t>设施设备及物品搬迁补偿金额</t>
  </si>
  <si>
    <t>机器设备名称</t>
  </si>
  <si>
    <t>规格型号</t>
  </si>
  <si>
    <t>合计</t>
  </si>
  <si>
    <t>项目名称：马海地社区城中村改造项目</t>
  </si>
  <si>
    <t>马海地单元八组</t>
  </si>
  <si>
    <t>评估基准日</t>
  </si>
  <si>
    <t>姐姐姐</t>
  </si>
  <si>
    <t>租户：卡卡卡</t>
  </si>
  <si>
    <t>婺城区白龙桥镇马海地村</t>
  </si>
  <si>
    <t>代码</t>
  </si>
  <si>
    <t>snd2</t>
  </si>
  <si>
    <t>hzw</t>
  </si>
  <si>
    <t>门墩</t>
  </si>
  <si>
    <t>0.4*0.4高3米*2个</t>
  </si>
  <si>
    <t>项</t>
  </si>
  <si>
    <t>bxgm</t>
  </si>
  <si>
    <t>smx</t>
  </si>
  <si>
    <t>发光字</t>
  </si>
  <si>
    <t>0.6*0.6</t>
  </si>
  <si>
    <t>个</t>
  </si>
  <si>
    <t>光伏及配套设施</t>
  </si>
  <si>
    <t>片</t>
  </si>
  <si>
    <t>资料未提供</t>
  </si>
  <si>
    <t>cqg</t>
  </si>
  <si>
    <t>苗木移植补偿金额</t>
  </si>
  <si>
    <t>苗木名称</t>
  </si>
  <si>
    <t>规格</t>
  </si>
  <si>
    <t>桂花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</si>
</sst>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yyyy&quot;年&quot;m&quot;月&quot;d&quot;日&quot;;@"/>
    <numFmt numFmtId="178" formatCode="#,##0_ "/>
  </numFmts>
  <fonts count="34">
    <font>
      <sz val="12"/>
      <name val="宋体"/>
      <charset val="134"/>
    </font>
    <font>
      <sz val="10"/>
      <name val="隶书"/>
      <charset val="134"/>
    </font>
    <font>
      <sz val="10"/>
      <name val="宋体"/>
      <charset val="134"/>
    </font>
    <font>
      <sz val="11"/>
      <name val="宋体"/>
      <charset val="134"/>
    </font>
    <font>
      <sz val="11"/>
      <name val="华文中宋"/>
      <charset val="134"/>
    </font>
    <font>
      <sz val="11"/>
      <name val="Times New Roman"/>
      <charset val="134"/>
    </font>
    <font>
      <sz val="10"/>
      <name val="Times New Roman"/>
      <charset val="134"/>
    </font>
    <font>
      <sz val="10"/>
      <name val="Arial Narrow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0"/>
      <name val="华文中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21" applyNumberFormat="0" applyAlignment="0" applyProtection="0">
      <alignment vertical="center"/>
    </xf>
    <xf numFmtId="0" fontId="21" fillId="7" borderId="22" applyNumberFormat="0" applyAlignment="0" applyProtection="0">
      <alignment vertical="center"/>
    </xf>
    <xf numFmtId="0" fontId="22" fillId="7" borderId="21" applyNumberFormat="0" applyAlignment="0" applyProtection="0">
      <alignment vertical="center"/>
    </xf>
    <xf numFmtId="0" fontId="23" fillId="8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" fillId="0" borderId="0"/>
    <xf numFmtId="0" fontId="0" fillId="0" borderId="0"/>
    <xf numFmtId="0" fontId="0" fillId="0" borderId="0"/>
    <xf numFmtId="0" fontId="0" fillId="0" borderId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1" fillId="2" borderId="0" xfId="58" applyFont="1" applyFill="1" applyAlignment="1" applyProtection="1">
      <alignment horizontal="center" vertical="center"/>
      <protection hidden="1"/>
    </xf>
    <xf numFmtId="0" fontId="2" fillId="2" borderId="0" xfId="58" applyFont="1" applyFill="1" applyAlignment="1" applyProtection="1">
      <alignment horizontal="center" vertical="center"/>
      <protection hidden="1"/>
    </xf>
    <xf numFmtId="0" fontId="3" fillId="2" borderId="0" xfId="58" applyFont="1" applyFill="1" applyAlignment="1" applyProtection="1">
      <alignment vertical="center"/>
      <protection hidden="1"/>
    </xf>
    <xf numFmtId="0" fontId="4" fillId="2" borderId="0" xfId="58" applyFont="1" applyFill="1" applyAlignment="1" applyProtection="1">
      <alignment vertical="center" shrinkToFit="1"/>
      <protection hidden="1"/>
    </xf>
    <xf numFmtId="0" fontId="3" fillId="2" borderId="0" xfId="58" applyFont="1" applyFill="1" applyAlignment="1" applyProtection="1">
      <alignment vertical="center" shrinkToFit="1"/>
      <protection hidden="1"/>
    </xf>
    <xf numFmtId="0" fontId="5" fillId="2" borderId="0" xfId="58" applyFont="1" applyFill="1" applyAlignment="1" applyProtection="1">
      <alignment vertical="center" shrinkToFit="1"/>
      <protection hidden="1"/>
    </xf>
    <xf numFmtId="0" fontId="6" fillId="2" borderId="0" xfId="58" applyFont="1" applyFill="1" applyAlignment="1" applyProtection="1">
      <alignment vertical="center"/>
      <protection hidden="1"/>
    </xf>
    <xf numFmtId="0" fontId="7" fillId="2" borderId="0" xfId="58" applyFont="1" applyFill="1" applyAlignment="1" applyProtection="1">
      <alignment vertical="center"/>
      <protection hidden="1"/>
    </xf>
    <xf numFmtId="0" fontId="7" fillId="3" borderId="0" xfId="58" applyFont="1" applyFill="1" applyAlignment="1" applyProtection="1">
      <alignment vertical="center"/>
      <protection hidden="1"/>
    </xf>
    <xf numFmtId="176" fontId="7" fillId="2" borderId="0" xfId="58" applyNumberFormat="1" applyFont="1" applyFill="1" applyAlignment="1" applyProtection="1">
      <alignment vertical="center"/>
      <protection hidden="1"/>
    </xf>
    <xf numFmtId="0" fontId="8" fillId="0" borderId="0" xfId="58" applyFont="1" applyFill="1" applyAlignment="1" applyProtection="1">
      <alignment horizontal="center" vertical="center"/>
      <protection hidden="1"/>
    </xf>
    <xf numFmtId="0" fontId="8" fillId="3" borderId="0" xfId="58" applyFont="1" applyFill="1" applyAlignment="1" applyProtection="1">
      <alignment horizontal="center" vertical="center"/>
      <protection hidden="1"/>
    </xf>
    <xf numFmtId="0" fontId="0" fillId="0" borderId="0" xfId="58" applyFont="1" applyFill="1" applyAlignment="1" applyProtection="1">
      <alignment horizontal="center" vertical="center"/>
      <protection hidden="1"/>
    </xf>
    <xf numFmtId="0" fontId="0" fillId="3" borderId="0" xfId="58" applyFont="1" applyFill="1" applyAlignment="1" applyProtection="1">
      <alignment horizontal="center" vertical="center"/>
      <protection hidden="1"/>
    </xf>
    <xf numFmtId="0" fontId="2" fillId="0" borderId="0" xfId="58" applyFont="1" applyFill="1" applyBorder="1" applyAlignment="1" applyProtection="1">
      <alignment vertical="center"/>
      <protection hidden="1"/>
    </xf>
    <xf numFmtId="0" fontId="2" fillId="3" borderId="0" xfId="58" applyFont="1" applyFill="1" applyBorder="1" applyAlignment="1" applyProtection="1">
      <alignment vertical="center"/>
      <protection hidden="1"/>
    </xf>
    <xf numFmtId="176" fontId="2" fillId="0" borderId="0" xfId="58" applyNumberFormat="1" applyFont="1" applyFill="1" applyBorder="1" applyAlignment="1" applyProtection="1">
      <alignment horizontal="center" vertical="center"/>
      <protection hidden="1"/>
    </xf>
    <xf numFmtId="177" fontId="2" fillId="0" borderId="0" xfId="58" applyNumberFormat="1" applyFont="1" applyFill="1" applyBorder="1" applyAlignment="1" applyProtection="1">
      <alignment horizontal="left" vertical="center"/>
      <protection hidden="1"/>
    </xf>
    <xf numFmtId="0" fontId="2" fillId="3" borderId="0" xfId="58" applyFont="1" applyFill="1" applyBorder="1" applyAlignment="1" applyProtection="1">
      <alignment horizontal="right" vertical="center"/>
      <protection hidden="1"/>
    </xf>
    <xf numFmtId="0" fontId="2" fillId="0" borderId="0" xfId="58" applyFont="1" applyFill="1" applyBorder="1" applyAlignment="1" applyProtection="1">
      <alignment horizontal="center" vertical="center"/>
      <protection hidden="1"/>
    </xf>
    <xf numFmtId="0" fontId="2" fillId="0" borderId="0" xfId="58" applyFont="1" applyFill="1" applyBorder="1" applyAlignment="1" applyProtection="1">
      <alignment horizontal="right" vertical="center"/>
      <protection hidden="1"/>
    </xf>
    <xf numFmtId="0" fontId="2" fillId="0" borderId="0" xfId="58" applyFont="1" applyFill="1" applyBorder="1" applyAlignment="1" applyProtection="1">
      <alignment vertical="center" wrapText="1"/>
      <protection hidden="1"/>
    </xf>
    <xf numFmtId="0" fontId="2" fillId="0" borderId="0" xfId="58" applyFont="1" applyFill="1" applyAlignment="1" applyProtection="1">
      <alignment horizontal="right" vertical="center"/>
      <protection hidden="1"/>
    </xf>
    <xf numFmtId="0" fontId="2" fillId="0" borderId="1" xfId="58" applyFont="1" applyFill="1" applyBorder="1" applyAlignment="1" applyProtection="1">
      <alignment horizontal="center" vertical="center" wrapText="1" shrinkToFit="1"/>
      <protection locked="0"/>
    </xf>
    <xf numFmtId="0" fontId="9" fillId="3" borderId="2" xfId="58" applyFont="1" applyFill="1" applyBorder="1" applyAlignment="1" applyProtection="1">
      <alignment horizontal="center" vertical="center"/>
      <protection hidden="1"/>
    </xf>
    <xf numFmtId="0" fontId="9" fillId="0" borderId="2" xfId="58" applyFont="1" applyFill="1" applyBorder="1" applyAlignment="1" applyProtection="1">
      <alignment horizontal="center" vertical="center"/>
      <protection hidden="1"/>
    </xf>
    <xf numFmtId="0" fontId="9" fillId="0" borderId="2" xfId="58" applyFont="1" applyFill="1" applyBorder="1" applyAlignment="1" applyProtection="1">
      <alignment horizontal="center" vertical="center" wrapText="1"/>
      <protection hidden="1"/>
    </xf>
    <xf numFmtId="0" fontId="9" fillId="3" borderId="2" xfId="58" applyFont="1" applyFill="1" applyBorder="1" applyAlignment="1" applyProtection="1">
      <alignment horizontal="center" vertical="center" wrapText="1"/>
      <protection hidden="1"/>
    </xf>
    <xf numFmtId="176" fontId="9" fillId="0" borderId="2" xfId="58" applyNumberFormat="1" applyFont="1" applyFill="1" applyBorder="1" applyAlignment="1" applyProtection="1">
      <alignment horizontal="center" vertical="center" shrinkToFit="1"/>
      <protection hidden="1"/>
    </xf>
    <xf numFmtId="0" fontId="9" fillId="0" borderId="3" xfId="58" applyFont="1" applyFill="1" applyBorder="1" applyAlignment="1" applyProtection="1">
      <alignment horizontal="center" vertical="center" wrapText="1"/>
      <protection hidden="1"/>
    </xf>
    <xf numFmtId="0" fontId="10" fillId="0" borderId="4" xfId="58" applyFont="1" applyFill="1" applyBorder="1" applyAlignment="1" applyProtection="1">
      <alignment horizontal="center" vertical="center" wrapText="1" shrinkToFit="1"/>
      <protection locked="0"/>
    </xf>
    <xf numFmtId="0" fontId="10" fillId="3" borderId="5" xfId="58" applyFont="1" applyFill="1" applyBorder="1" applyAlignment="1" applyProtection="1">
      <alignment horizontal="center" vertical="center" shrinkToFit="1"/>
      <protection locked="0"/>
    </xf>
    <xf numFmtId="0" fontId="6" fillId="0" borderId="5" xfId="58" applyFont="1" applyFill="1" applyBorder="1" applyAlignment="1" applyProtection="1">
      <alignment horizontal="center" vertical="center" shrinkToFit="1"/>
      <protection locked="0"/>
    </xf>
    <xf numFmtId="0" fontId="2" fillId="0" borderId="5" xfId="58" applyFont="1" applyFill="1" applyBorder="1" applyAlignment="1" applyProtection="1">
      <alignment vertical="center" shrinkToFit="1"/>
      <protection locked="0"/>
    </xf>
    <xf numFmtId="0" fontId="3" fillId="0" borderId="5" xfId="58" applyFont="1" applyFill="1" applyBorder="1" applyAlignment="1" applyProtection="1">
      <alignment horizontal="center" vertical="center" shrinkToFit="1"/>
      <protection locked="0"/>
    </xf>
    <xf numFmtId="0" fontId="5" fillId="0" borderId="5" xfId="58" applyFont="1" applyFill="1" applyBorder="1" applyAlignment="1" applyProtection="1">
      <alignment horizontal="center" vertical="center" shrinkToFit="1"/>
      <protection locked="0"/>
    </xf>
    <xf numFmtId="0" fontId="5" fillId="3" borderId="5" xfId="60" applyFont="1" applyFill="1" applyBorder="1" applyAlignment="1" applyProtection="1">
      <alignment horizontal="center" vertical="center" wrapText="1"/>
      <protection hidden="1"/>
    </xf>
    <xf numFmtId="176" fontId="5" fillId="3" borderId="5" xfId="58" applyNumberFormat="1" applyFont="1" applyFill="1" applyBorder="1" applyAlignment="1" applyProtection="1">
      <alignment horizontal="right" vertical="center" shrinkToFit="1"/>
      <protection locked="0"/>
    </xf>
    <xf numFmtId="9" fontId="5" fillId="3" borderId="5" xfId="58" applyNumberFormat="1" applyFont="1" applyFill="1" applyBorder="1" applyAlignment="1" applyProtection="1">
      <alignment horizontal="right" vertical="center" shrinkToFit="1"/>
      <protection locked="0"/>
    </xf>
    <xf numFmtId="0" fontId="5" fillId="0" borderId="5" xfId="58" applyFont="1" applyFill="1" applyBorder="1" applyAlignment="1" applyProtection="1">
      <alignment horizontal="right" vertical="center" shrinkToFit="1"/>
      <protection locked="0"/>
    </xf>
    <xf numFmtId="178" fontId="5" fillId="4" borderId="5" xfId="58" applyNumberFormat="1" applyFont="1" applyFill="1" applyBorder="1" applyAlignment="1" applyProtection="1">
      <alignment horizontal="right" vertical="center" shrinkToFit="1"/>
      <protection hidden="1"/>
    </xf>
    <xf numFmtId="0" fontId="2" fillId="0" borderId="6" xfId="58" applyFont="1" applyFill="1" applyBorder="1" applyAlignment="1" applyProtection="1">
      <alignment horizontal="center" vertical="center" shrinkToFit="1"/>
      <protection locked="0"/>
    </xf>
    <xf numFmtId="0" fontId="2" fillId="0" borderId="5" xfId="58" applyFont="1" applyFill="1" applyBorder="1" applyAlignment="1" applyProtection="1">
      <alignment vertical="center" wrapText="1" shrinkToFit="1"/>
      <protection locked="0"/>
    </xf>
    <xf numFmtId="0" fontId="10" fillId="0" borderId="5" xfId="60" applyFont="1" applyBorder="1" applyAlignment="1" applyProtection="1">
      <alignment horizontal="center" vertical="center" wrapText="1"/>
      <protection hidden="1"/>
    </xf>
    <xf numFmtId="0" fontId="2" fillId="0" borderId="7" xfId="58" applyFont="1" applyFill="1" applyBorder="1" applyAlignment="1" applyProtection="1">
      <alignment horizontal="center" vertical="center" shrinkToFit="1"/>
      <protection hidden="1"/>
    </xf>
    <xf numFmtId="0" fontId="2" fillId="3" borderId="8" xfId="58" applyFont="1" applyFill="1" applyBorder="1" applyAlignment="1" applyProtection="1">
      <alignment horizontal="center" vertical="center" shrinkToFit="1"/>
      <protection hidden="1"/>
    </xf>
    <xf numFmtId="0" fontId="2" fillId="0" borderId="8" xfId="58" applyFont="1" applyFill="1" applyBorder="1" applyAlignment="1" applyProtection="1">
      <alignment horizontal="center" vertical="center" shrinkToFit="1"/>
      <protection hidden="1"/>
    </xf>
    <xf numFmtId="0" fontId="10" fillId="0" borderId="8" xfId="58" applyFont="1" applyFill="1" applyBorder="1" applyAlignment="1" applyProtection="1">
      <alignment vertical="center" wrapText="1" shrinkToFit="1"/>
      <protection locked="0"/>
    </xf>
    <xf numFmtId="0" fontId="4" fillId="0" borderId="8" xfId="58" applyFont="1" applyFill="1" applyBorder="1" applyAlignment="1" applyProtection="1">
      <alignment horizontal="center" vertical="center" shrinkToFit="1"/>
      <protection locked="0"/>
    </xf>
    <xf numFmtId="0" fontId="5" fillId="0" borderId="8" xfId="58" applyFont="1" applyFill="1" applyBorder="1" applyAlignment="1" applyProtection="1">
      <alignment horizontal="center" vertical="center" shrinkToFit="1"/>
      <protection locked="0"/>
    </xf>
    <xf numFmtId="0" fontId="5" fillId="3" borderId="8" xfId="60" applyFont="1" applyFill="1" applyBorder="1" applyAlignment="1" applyProtection="1">
      <alignment horizontal="center" vertical="center" wrapText="1"/>
      <protection hidden="1"/>
    </xf>
    <xf numFmtId="176" fontId="5" fillId="3" borderId="8" xfId="58" applyNumberFormat="1" applyFont="1" applyFill="1" applyBorder="1" applyAlignment="1" applyProtection="1">
      <alignment horizontal="right" vertical="center" shrinkToFit="1"/>
      <protection locked="0"/>
    </xf>
    <xf numFmtId="9" fontId="5" fillId="3" borderId="8" xfId="58" applyNumberFormat="1" applyFont="1" applyFill="1" applyBorder="1" applyAlignment="1" applyProtection="1">
      <alignment horizontal="right" vertical="center" shrinkToFit="1"/>
      <protection locked="0"/>
    </xf>
    <xf numFmtId="0" fontId="5" fillId="0" borderId="8" xfId="58" applyFont="1" applyFill="1" applyBorder="1" applyAlignment="1" applyProtection="1">
      <alignment horizontal="right" vertical="center" shrinkToFit="1"/>
      <protection locked="0"/>
    </xf>
    <xf numFmtId="178" fontId="5" fillId="0" borderId="8" xfId="58" applyNumberFormat="1" applyFont="1" applyFill="1" applyBorder="1" applyAlignment="1" applyProtection="1">
      <alignment horizontal="right" vertical="center" shrinkToFit="1"/>
      <protection hidden="1"/>
    </xf>
    <xf numFmtId="0" fontId="2" fillId="0" borderId="9" xfId="58" applyFont="1" applyFill="1" applyBorder="1" applyAlignment="1" applyProtection="1">
      <alignment horizontal="center" vertical="center" shrinkToFit="1"/>
      <protection locked="0"/>
    </xf>
    <xf numFmtId="0" fontId="2" fillId="0" borderId="10" xfId="58" applyFont="1" applyFill="1" applyBorder="1" applyAlignment="1" applyProtection="1">
      <alignment horizontal="center" vertical="center" wrapText="1" shrinkToFit="1"/>
      <protection locked="0"/>
    </xf>
    <xf numFmtId="0" fontId="2" fillId="3" borderId="11" xfId="58" applyFont="1" applyFill="1" applyBorder="1" applyAlignment="1" applyProtection="1">
      <alignment horizontal="center" vertical="center" shrinkToFit="1"/>
      <protection hidden="1"/>
    </xf>
    <xf numFmtId="0" fontId="9" fillId="0" borderId="11" xfId="58" applyFont="1" applyFill="1" applyBorder="1" applyAlignment="1" applyProtection="1">
      <alignment horizontal="center" vertical="center"/>
      <protection hidden="1"/>
    </xf>
    <xf numFmtId="0" fontId="9" fillId="0" borderId="11" xfId="58" applyFont="1" applyFill="1" applyBorder="1" applyAlignment="1" applyProtection="1">
      <alignment horizontal="center" vertical="center" wrapText="1"/>
      <protection hidden="1"/>
    </xf>
    <xf numFmtId="0" fontId="2" fillId="3" borderId="11" xfId="60" applyFont="1" applyFill="1" applyBorder="1" applyAlignment="1" applyProtection="1">
      <alignment horizontal="center" vertical="center" wrapText="1"/>
      <protection hidden="1"/>
    </xf>
    <xf numFmtId="176" fontId="2" fillId="3" borderId="11" xfId="58" applyNumberFormat="1" applyFont="1" applyFill="1" applyBorder="1" applyAlignment="1" applyProtection="1">
      <alignment horizontal="right" vertical="center" shrinkToFit="1"/>
      <protection locked="0"/>
    </xf>
    <xf numFmtId="9" fontId="2" fillId="3" borderId="11" xfId="58" applyNumberFormat="1" applyFont="1" applyFill="1" applyBorder="1" applyAlignment="1" applyProtection="1">
      <alignment horizontal="right" vertical="center" shrinkToFit="1"/>
      <protection locked="0"/>
    </xf>
    <xf numFmtId="176" fontId="9" fillId="0" borderId="11" xfId="58" applyNumberFormat="1" applyFont="1" applyFill="1" applyBorder="1" applyAlignment="1" applyProtection="1">
      <alignment horizontal="center" vertical="center" shrinkToFit="1"/>
      <protection hidden="1"/>
    </xf>
    <xf numFmtId="0" fontId="9" fillId="0" borderId="12" xfId="58" applyFont="1" applyFill="1" applyBorder="1" applyAlignment="1" applyProtection="1">
      <alignment horizontal="center" vertical="center" wrapText="1"/>
      <protection hidden="1"/>
    </xf>
    <xf numFmtId="0" fontId="2" fillId="3" borderId="5" xfId="58" applyFont="1" applyFill="1" applyBorder="1" applyAlignment="1" applyProtection="1">
      <alignment horizontal="center" vertical="center" shrinkToFit="1"/>
      <protection locked="0"/>
    </xf>
    <xf numFmtId="0" fontId="2" fillId="0" borderId="5" xfId="58" applyFont="1" applyFill="1" applyBorder="1" applyAlignment="1" applyProtection="1">
      <alignment horizontal="center" vertical="center" shrinkToFit="1"/>
      <protection locked="0"/>
    </xf>
    <xf numFmtId="178" fontId="5" fillId="0" borderId="5" xfId="58" applyNumberFormat="1" applyFont="1" applyFill="1" applyBorder="1" applyAlignment="1" applyProtection="1">
      <alignment horizontal="right" vertical="center" shrinkToFit="1"/>
      <protection hidden="1"/>
    </xf>
    <xf numFmtId="0" fontId="2" fillId="0" borderId="13" xfId="58" applyFont="1" applyFill="1" applyBorder="1" applyAlignment="1" applyProtection="1">
      <alignment horizontal="center" vertical="center" wrapText="1" shrinkToFit="1"/>
      <protection locked="0"/>
    </xf>
    <xf numFmtId="0" fontId="10" fillId="0" borderId="7" xfId="58" applyFont="1" applyFill="1" applyBorder="1" applyAlignment="1" applyProtection="1">
      <alignment horizontal="center" vertical="center" shrinkToFit="1"/>
      <protection hidden="1"/>
    </xf>
    <xf numFmtId="0" fontId="10" fillId="3" borderId="8" xfId="58" applyFont="1" applyFill="1" applyBorder="1" applyAlignment="1" applyProtection="1">
      <alignment horizontal="center" vertical="center" shrinkToFit="1"/>
      <protection hidden="1"/>
    </xf>
    <xf numFmtId="0" fontId="10" fillId="0" borderId="8" xfId="58" applyFont="1" applyFill="1" applyBorder="1" applyAlignment="1" applyProtection="1">
      <alignment horizontal="center" vertical="center" shrinkToFit="1"/>
      <protection hidden="1"/>
    </xf>
    <xf numFmtId="178" fontId="5" fillId="0" borderId="8" xfId="58" applyNumberFormat="1" applyFont="1" applyFill="1" applyBorder="1" applyAlignment="1" applyProtection="1">
      <alignment vertical="center" shrinkToFit="1"/>
      <protection hidden="1"/>
    </xf>
    <xf numFmtId="0" fontId="2" fillId="0" borderId="14" xfId="58" applyFont="1" applyFill="1" applyBorder="1" applyAlignment="1" applyProtection="1">
      <alignment horizontal="center" vertical="center" wrapText="1" shrinkToFit="1"/>
      <protection locked="0"/>
    </xf>
    <xf numFmtId="0" fontId="2" fillId="3" borderId="2" xfId="58" applyFont="1" applyFill="1" applyBorder="1" applyAlignment="1" applyProtection="1">
      <alignment horizontal="center" vertical="center" shrinkToFit="1"/>
      <protection locked="0"/>
    </xf>
    <xf numFmtId="0" fontId="2" fillId="3" borderId="2" xfId="60" applyFont="1" applyFill="1" applyBorder="1" applyAlignment="1" applyProtection="1">
      <alignment horizontal="center" vertical="center" wrapText="1"/>
      <protection hidden="1"/>
    </xf>
    <xf numFmtId="176" fontId="2" fillId="3" borderId="2" xfId="58" applyNumberFormat="1" applyFont="1" applyFill="1" applyBorder="1" applyAlignment="1" applyProtection="1">
      <alignment horizontal="right" vertical="center" shrinkToFit="1"/>
      <protection locked="0"/>
    </xf>
    <xf numFmtId="9" fontId="2" fillId="3" borderId="2" xfId="58" applyNumberFormat="1" applyFont="1" applyFill="1" applyBorder="1" applyAlignment="1" applyProtection="1">
      <alignment horizontal="right" vertical="center" shrinkToFit="1"/>
      <protection locked="0"/>
    </xf>
    <xf numFmtId="0" fontId="9" fillId="0" borderId="6" xfId="58" applyFont="1" applyFill="1" applyBorder="1" applyAlignment="1" applyProtection="1">
      <alignment horizontal="center" vertical="center" wrapText="1"/>
      <protection hidden="1"/>
    </xf>
    <xf numFmtId="0" fontId="10" fillId="0" borderId="10" xfId="58" applyFont="1" applyFill="1" applyBorder="1" applyAlignment="1" applyProtection="1">
      <alignment horizontal="center" vertical="center" wrapText="1" shrinkToFit="1"/>
      <protection locked="0"/>
    </xf>
    <xf numFmtId="0" fontId="4" fillId="0" borderId="5" xfId="58" applyFont="1" applyFill="1" applyBorder="1" applyAlignment="1" applyProtection="1">
      <alignment horizontal="center" vertical="center" shrinkToFit="1"/>
      <protection locked="0"/>
    </xf>
    <xf numFmtId="0" fontId="10" fillId="0" borderId="13" xfId="58" applyFont="1" applyFill="1" applyBorder="1" applyAlignment="1" applyProtection="1">
      <alignment horizontal="center" vertical="center" wrapText="1" shrinkToFit="1"/>
      <protection locked="0"/>
    </xf>
    <xf numFmtId="0" fontId="2" fillId="0" borderId="15" xfId="58" applyFont="1" applyFill="1" applyBorder="1" applyAlignment="1" applyProtection="1">
      <alignment horizontal="center" vertical="center" shrinkToFit="1"/>
      <protection hidden="1"/>
    </xf>
    <xf numFmtId="0" fontId="2" fillId="3" borderId="16" xfId="58" applyFont="1" applyFill="1" applyBorder="1" applyAlignment="1" applyProtection="1">
      <alignment horizontal="center" vertical="center" shrinkToFit="1"/>
      <protection hidden="1"/>
    </xf>
    <xf numFmtId="0" fontId="2" fillId="0" borderId="16" xfId="58" applyFont="1" applyFill="1" applyBorder="1" applyAlignment="1" applyProtection="1">
      <alignment horizontal="center" vertical="center" shrinkToFit="1"/>
      <protection hidden="1"/>
    </xf>
    <xf numFmtId="0" fontId="10" fillId="0" borderId="16" xfId="58" applyFont="1" applyFill="1" applyBorder="1" applyAlignment="1" applyProtection="1">
      <alignment vertical="center" shrinkToFit="1"/>
      <protection hidden="1"/>
    </xf>
    <xf numFmtId="0" fontId="4" fillId="0" borderId="16" xfId="58" applyFont="1" applyFill="1" applyBorder="1" applyAlignment="1" applyProtection="1">
      <alignment vertical="center" shrinkToFit="1"/>
      <protection hidden="1"/>
    </xf>
    <xf numFmtId="0" fontId="5" fillId="0" borderId="16" xfId="58" applyFont="1" applyFill="1" applyBorder="1" applyAlignment="1" applyProtection="1">
      <alignment vertical="center" shrinkToFit="1"/>
      <protection hidden="1"/>
    </xf>
    <xf numFmtId="0" fontId="5" fillId="3" borderId="16" xfId="58" applyFont="1" applyFill="1" applyBorder="1" applyAlignment="1" applyProtection="1">
      <alignment vertical="center" shrinkToFit="1"/>
      <protection hidden="1"/>
    </xf>
    <xf numFmtId="178" fontId="5" fillId="0" borderId="16" xfId="58" applyNumberFormat="1" applyFont="1" applyFill="1" applyBorder="1" applyAlignment="1" applyProtection="1">
      <alignment vertical="center" shrinkToFit="1"/>
      <protection hidden="1"/>
    </xf>
    <xf numFmtId="178" fontId="2" fillId="0" borderId="17" xfId="58" applyNumberFormat="1" applyFont="1" applyFill="1" applyBorder="1" applyAlignment="1" applyProtection="1">
      <alignment vertical="center" shrinkToFit="1"/>
      <protection hidden="1"/>
    </xf>
    <xf numFmtId="178" fontId="5" fillId="2" borderId="0" xfId="58" applyNumberFormat="1" applyFont="1" applyFill="1" applyAlignment="1" applyProtection="1">
      <alignment vertical="center" shrinkToFit="1"/>
      <protection hidden="1"/>
    </xf>
    <xf numFmtId="0" fontId="6" fillId="2" borderId="0" xfId="58" applyFont="1" applyFill="1" applyAlignment="1" applyProtection="1">
      <alignment horizontal="center" vertical="center"/>
      <protection hidden="1"/>
    </xf>
    <xf numFmtId="0" fontId="6" fillId="3" borderId="0" xfId="58" applyFont="1" applyFill="1" applyAlignment="1" applyProtection="1">
      <alignment horizontal="center" vertical="center"/>
      <protection hidden="1"/>
    </xf>
    <xf numFmtId="0" fontId="6" fillId="3" borderId="0" xfId="58" applyFont="1" applyFill="1" applyAlignment="1" applyProtection="1">
      <alignment vertical="center"/>
      <protection hidden="1"/>
    </xf>
    <xf numFmtId="176" fontId="6" fillId="2" borderId="0" xfId="58" applyNumberFormat="1" applyFont="1" applyFill="1" applyAlignment="1" applyProtection="1">
      <alignment horizontal="right" vertical="center"/>
      <protection hidden="1"/>
    </xf>
    <xf numFmtId="0" fontId="1" fillId="0" borderId="0" xfId="58" applyFont="1" applyFill="1" applyAlignment="1" applyProtection="1">
      <alignment horizontal="center" vertical="center"/>
      <protection hidden="1"/>
    </xf>
    <xf numFmtId="0" fontId="2" fillId="0" borderId="0" xfId="58" applyFont="1" applyFill="1" applyAlignment="1" applyProtection="1">
      <alignment horizontal="center" vertical="center"/>
      <protection hidden="1"/>
    </xf>
    <xf numFmtId="0" fontId="3" fillId="0" borderId="0" xfId="58" applyFont="1" applyFill="1" applyAlignment="1" applyProtection="1">
      <alignment horizontal="center" vertical="center"/>
      <protection hidden="1"/>
    </xf>
    <xf numFmtId="0" fontId="4" fillId="0" borderId="0" xfId="58" applyFont="1" applyFill="1" applyAlignment="1" applyProtection="1">
      <alignment horizontal="center" vertical="center" shrinkToFit="1"/>
      <protection hidden="1"/>
    </xf>
    <xf numFmtId="0" fontId="5" fillId="0" borderId="0" xfId="58" applyFont="1" applyFill="1" applyAlignment="1" applyProtection="1">
      <alignment horizontal="center" vertical="center" shrinkToFit="1"/>
      <protection hidden="1"/>
    </xf>
    <xf numFmtId="0" fontId="6" fillId="0" borderId="0" xfId="58" applyFont="1" applyFill="1" applyAlignment="1" applyProtection="1">
      <alignment horizontal="center" vertical="center"/>
      <protection hidden="1"/>
    </xf>
    <xf numFmtId="0" fontId="7" fillId="0" borderId="0" xfId="58" applyFont="1" applyFill="1" applyAlignment="1" applyProtection="1">
      <alignment horizontal="center" vertical="center"/>
      <protection hidden="1"/>
    </xf>
    <xf numFmtId="176" fontId="7" fillId="0" borderId="0" xfId="58" applyNumberFormat="1" applyFont="1" applyFill="1" applyAlignment="1" applyProtection="1">
      <alignment horizontal="center" vertical="center"/>
      <protection hidden="1"/>
    </xf>
    <xf numFmtId="0" fontId="8" fillId="0" borderId="0" xfId="58" applyFont="1" applyFill="1" applyAlignment="1" applyProtection="1">
      <alignment horizontal="center" vertical="center"/>
      <protection hidden="1"/>
    </xf>
    <xf numFmtId="0" fontId="8" fillId="0" borderId="0" xfId="58" applyFont="1" applyFill="1" applyAlignment="1" applyProtection="1">
      <alignment horizontal="center" vertical="center"/>
      <protection hidden="1"/>
    </xf>
    <xf numFmtId="0" fontId="0" fillId="0" borderId="0" xfId="58" applyFont="1" applyFill="1" applyAlignment="1" applyProtection="1">
      <alignment horizontal="center" vertical="center"/>
      <protection hidden="1"/>
    </xf>
    <xf numFmtId="0" fontId="0" fillId="0" borderId="0" xfId="58" applyFont="1" applyFill="1" applyAlignment="1" applyProtection="1">
      <alignment horizontal="center" vertical="center"/>
      <protection hidden="1"/>
    </xf>
    <xf numFmtId="0" fontId="2" fillId="0" borderId="0" xfId="58" applyFont="1" applyFill="1" applyAlignment="1" applyProtection="1">
      <alignment horizontal="left" vertical="center"/>
      <protection hidden="1"/>
    </xf>
    <xf numFmtId="176" fontId="2" fillId="0" borderId="0" xfId="58" applyNumberFormat="1" applyFont="1" applyFill="1" applyBorder="1" applyAlignment="1" applyProtection="1">
      <alignment horizontal="center" vertical="center"/>
      <protection hidden="1"/>
    </xf>
    <xf numFmtId="177" fontId="2" fillId="0" borderId="0" xfId="58" applyNumberFormat="1" applyFont="1" applyFill="1" applyAlignment="1" applyProtection="1">
      <alignment horizontal="center" vertical="center"/>
      <protection hidden="1"/>
    </xf>
    <xf numFmtId="177" fontId="2" fillId="0" borderId="0" xfId="58" applyNumberFormat="1" applyFont="1" applyFill="1" applyAlignment="1" applyProtection="1">
      <alignment horizontal="center" vertical="center"/>
      <protection hidden="1"/>
    </xf>
    <xf numFmtId="0" fontId="2" fillId="0" borderId="0" xfId="58" applyFont="1" applyFill="1" applyAlignment="1" applyProtection="1">
      <alignment horizontal="center" vertical="center"/>
      <protection hidden="1"/>
    </xf>
    <xf numFmtId="0" fontId="2" fillId="0" borderId="0" xfId="58" applyFont="1" applyFill="1" applyBorder="1" applyAlignment="1" applyProtection="1">
      <alignment horizontal="center" vertical="center"/>
      <protection hidden="1"/>
    </xf>
    <xf numFmtId="0" fontId="2" fillId="0" borderId="1" xfId="58" applyFont="1" applyFill="1" applyBorder="1" applyAlignment="1" applyProtection="1">
      <alignment horizontal="center" vertical="center" wrapText="1" shrinkToFit="1"/>
      <protection locked="0"/>
    </xf>
    <xf numFmtId="0" fontId="9" fillId="0" borderId="2" xfId="58" applyFont="1" applyFill="1" applyBorder="1" applyAlignment="1" applyProtection="1">
      <alignment horizontal="center" vertical="center"/>
      <protection hidden="1"/>
    </xf>
    <xf numFmtId="0" fontId="9" fillId="0" borderId="2" xfId="58" applyFont="1" applyFill="1" applyBorder="1" applyAlignment="1" applyProtection="1">
      <alignment horizontal="center" vertical="center" wrapText="1"/>
      <protection hidden="1"/>
    </xf>
    <xf numFmtId="0" fontId="9" fillId="0" borderId="2" xfId="58" applyFont="1" applyFill="1" applyBorder="1" applyAlignment="1" applyProtection="1">
      <alignment horizontal="center" vertical="center" wrapText="1"/>
      <protection hidden="1"/>
    </xf>
    <xf numFmtId="176" fontId="9" fillId="0" borderId="2" xfId="58" applyNumberFormat="1" applyFont="1" applyFill="1" applyBorder="1" applyAlignment="1" applyProtection="1">
      <alignment horizontal="center" vertical="center" shrinkToFit="1"/>
      <protection hidden="1"/>
    </xf>
    <xf numFmtId="0" fontId="9" fillId="0" borderId="3" xfId="58" applyFont="1" applyFill="1" applyBorder="1" applyAlignment="1" applyProtection="1">
      <alignment horizontal="center" vertical="center" wrapText="1"/>
      <protection hidden="1"/>
    </xf>
    <xf numFmtId="0" fontId="10" fillId="0" borderId="4" xfId="58" applyFont="1" applyFill="1" applyBorder="1" applyAlignment="1" applyProtection="1">
      <alignment horizontal="center" vertical="center" wrapText="1" shrinkToFit="1"/>
      <protection locked="0"/>
    </xf>
    <xf numFmtId="0" fontId="6" fillId="0" borderId="5" xfId="58" applyFont="1" applyFill="1" applyBorder="1" applyAlignment="1" applyProtection="1">
      <alignment horizontal="center" vertical="center" shrinkToFit="1"/>
      <protection locked="0"/>
    </xf>
    <xf numFmtId="0" fontId="2" fillId="0" borderId="5" xfId="58" applyFont="1" applyFill="1" applyBorder="1" applyAlignment="1" applyProtection="1">
      <alignment horizontal="center" vertical="center" shrinkToFit="1"/>
      <protection locked="0"/>
    </xf>
    <xf numFmtId="0" fontId="3" fillId="0" borderId="5" xfId="58" applyFont="1" applyFill="1" applyBorder="1" applyAlignment="1" applyProtection="1">
      <alignment horizontal="center" vertical="center" shrinkToFit="1"/>
      <protection locked="0"/>
    </xf>
    <xf numFmtId="0" fontId="5" fillId="0" borderId="5" xfId="58" applyFont="1" applyFill="1" applyBorder="1" applyAlignment="1" applyProtection="1">
      <alignment horizontal="center" vertical="center" shrinkToFit="1"/>
      <protection locked="0"/>
    </xf>
    <xf numFmtId="0" fontId="5" fillId="0" borderId="5" xfId="60" applyFont="1" applyFill="1" applyBorder="1" applyAlignment="1" applyProtection="1">
      <alignment horizontal="center" vertical="center" wrapText="1"/>
      <protection hidden="1"/>
    </xf>
    <xf numFmtId="176" fontId="5" fillId="0" borderId="5" xfId="58" applyNumberFormat="1" applyFont="1" applyFill="1" applyBorder="1" applyAlignment="1" applyProtection="1">
      <alignment horizontal="center" vertical="center" shrinkToFit="1"/>
      <protection locked="0"/>
    </xf>
    <xf numFmtId="9" fontId="5" fillId="0" borderId="5" xfId="58" applyNumberFormat="1" applyFont="1" applyFill="1" applyBorder="1" applyAlignment="1" applyProtection="1">
      <alignment horizontal="center" vertical="center" shrinkToFit="1"/>
      <protection locked="0"/>
    </xf>
    <xf numFmtId="178" fontId="5" fillId="0" borderId="5" xfId="58" applyNumberFormat="1" applyFont="1" applyFill="1" applyBorder="1" applyAlignment="1" applyProtection="1">
      <alignment horizontal="center" vertical="center" shrinkToFit="1"/>
      <protection hidden="1"/>
    </xf>
    <xf numFmtId="0" fontId="2" fillId="0" borderId="6" xfId="58" applyFont="1" applyFill="1" applyBorder="1" applyAlignment="1" applyProtection="1">
      <alignment horizontal="center" vertical="center" shrinkToFit="1"/>
      <protection locked="0"/>
    </xf>
    <xf numFmtId="0" fontId="2" fillId="0" borderId="5" xfId="58" applyFont="1" applyFill="1" applyBorder="1" applyAlignment="1" applyProtection="1">
      <alignment horizontal="center" vertical="center" wrapText="1" shrinkToFit="1"/>
      <protection locked="0"/>
    </xf>
    <xf numFmtId="0" fontId="2" fillId="0" borderId="7" xfId="58" applyFont="1" applyFill="1" applyBorder="1" applyAlignment="1" applyProtection="1">
      <alignment horizontal="center" vertical="center" shrinkToFit="1"/>
      <protection hidden="1"/>
    </xf>
    <xf numFmtId="0" fontId="2" fillId="0" borderId="8" xfId="58" applyFont="1" applyFill="1" applyBorder="1" applyAlignment="1" applyProtection="1">
      <alignment horizontal="center" vertical="center" shrinkToFit="1"/>
      <protection hidden="1"/>
    </xf>
    <xf numFmtId="0" fontId="10" fillId="0" borderId="8" xfId="58" applyFont="1" applyFill="1" applyBorder="1" applyAlignment="1" applyProtection="1">
      <alignment horizontal="center" vertical="center" wrapText="1" shrinkToFit="1"/>
      <protection locked="0"/>
    </xf>
    <xf numFmtId="0" fontId="4" fillId="0" borderId="8" xfId="58" applyFont="1" applyFill="1" applyBorder="1" applyAlignment="1" applyProtection="1">
      <alignment horizontal="center" vertical="center" shrinkToFit="1"/>
      <protection locked="0"/>
    </xf>
    <xf numFmtId="0" fontId="5" fillId="0" borderId="8" xfId="58" applyFont="1" applyFill="1" applyBorder="1" applyAlignment="1" applyProtection="1">
      <alignment horizontal="center" vertical="center" shrinkToFit="1"/>
      <protection locked="0"/>
    </xf>
    <xf numFmtId="0" fontId="5" fillId="0" borderId="8" xfId="60" applyFont="1" applyFill="1" applyBorder="1" applyAlignment="1" applyProtection="1">
      <alignment horizontal="center" vertical="center" wrapText="1"/>
      <protection hidden="1"/>
    </xf>
    <xf numFmtId="176" fontId="5" fillId="0" borderId="8" xfId="58" applyNumberFormat="1" applyFont="1" applyFill="1" applyBorder="1" applyAlignment="1" applyProtection="1">
      <alignment horizontal="center" vertical="center" shrinkToFit="1"/>
      <protection locked="0"/>
    </xf>
    <xf numFmtId="9" fontId="5" fillId="0" borderId="8" xfId="58" applyNumberFormat="1" applyFont="1" applyFill="1" applyBorder="1" applyAlignment="1" applyProtection="1">
      <alignment horizontal="center" vertical="center" shrinkToFit="1"/>
      <protection locked="0"/>
    </xf>
    <xf numFmtId="178" fontId="5" fillId="0" borderId="8" xfId="58" applyNumberFormat="1" applyFont="1" applyFill="1" applyBorder="1" applyAlignment="1" applyProtection="1">
      <alignment horizontal="center" vertical="center" shrinkToFit="1"/>
      <protection hidden="1"/>
    </xf>
    <xf numFmtId="0" fontId="2" fillId="0" borderId="9" xfId="58" applyFont="1" applyFill="1" applyBorder="1" applyAlignment="1" applyProtection="1">
      <alignment horizontal="center" vertical="center" shrinkToFit="1"/>
      <protection locked="0"/>
    </xf>
    <xf numFmtId="0" fontId="2" fillId="0" borderId="10" xfId="58" applyFont="1" applyFill="1" applyBorder="1" applyAlignment="1" applyProtection="1">
      <alignment horizontal="center" vertical="center" wrapText="1" shrinkToFit="1"/>
      <protection locked="0"/>
    </xf>
    <xf numFmtId="0" fontId="9" fillId="0" borderId="11" xfId="58" applyFont="1" applyFill="1" applyBorder="1" applyAlignment="1" applyProtection="1">
      <alignment horizontal="center" vertical="center"/>
      <protection hidden="1"/>
    </xf>
    <xf numFmtId="0" fontId="9" fillId="0" borderId="11" xfId="58" applyFont="1" applyFill="1" applyBorder="1" applyAlignment="1" applyProtection="1">
      <alignment horizontal="center" vertical="center" wrapText="1"/>
      <protection hidden="1"/>
    </xf>
    <xf numFmtId="0" fontId="2" fillId="0" borderId="11" xfId="60" applyFont="1" applyFill="1" applyBorder="1" applyAlignment="1" applyProtection="1">
      <alignment horizontal="center" vertical="center" wrapText="1"/>
      <protection hidden="1"/>
    </xf>
    <xf numFmtId="176" fontId="2" fillId="0" borderId="11" xfId="58" applyNumberFormat="1" applyFont="1" applyFill="1" applyBorder="1" applyAlignment="1" applyProtection="1">
      <alignment horizontal="center" vertical="center" shrinkToFit="1"/>
      <protection locked="0"/>
    </xf>
    <xf numFmtId="9" fontId="2" fillId="0" borderId="11" xfId="58" applyNumberFormat="1" applyFont="1" applyFill="1" applyBorder="1" applyAlignment="1" applyProtection="1">
      <alignment horizontal="center" vertical="center" shrinkToFit="1"/>
      <protection locked="0"/>
    </xf>
    <xf numFmtId="176" fontId="9" fillId="0" borderId="11" xfId="58" applyNumberFormat="1" applyFont="1" applyFill="1" applyBorder="1" applyAlignment="1" applyProtection="1">
      <alignment horizontal="center" vertical="center" shrinkToFit="1"/>
      <protection hidden="1"/>
    </xf>
    <xf numFmtId="0" fontId="9" fillId="0" borderId="12" xfId="58" applyFont="1" applyFill="1" applyBorder="1" applyAlignment="1" applyProtection="1">
      <alignment horizontal="center" vertical="center" wrapText="1"/>
      <protection hidden="1"/>
    </xf>
    <xf numFmtId="178" fontId="5" fillId="0" borderId="5" xfId="58" applyNumberFormat="1" applyFont="1" applyFill="1" applyBorder="1" applyAlignment="1" applyProtection="1">
      <alignment horizontal="center" vertical="center" shrinkToFit="1"/>
      <protection hidden="1"/>
    </xf>
    <xf numFmtId="0" fontId="10" fillId="0" borderId="7" xfId="58" applyFont="1" applyFill="1" applyBorder="1" applyAlignment="1" applyProtection="1">
      <alignment horizontal="center" vertical="center" shrinkToFit="1"/>
      <protection hidden="1"/>
    </xf>
    <xf numFmtId="0" fontId="10" fillId="0" borderId="8" xfId="58" applyFont="1" applyFill="1" applyBorder="1" applyAlignment="1" applyProtection="1">
      <alignment horizontal="center" vertical="center" shrinkToFit="1"/>
      <protection hidden="1"/>
    </xf>
    <xf numFmtId="0" fontId="2" fillId="0" borderId="15" xfId="58" applyFont="1" applyFill="1" applyBorder="1" applyAlignment="1" applyProtection="1">
      <alignment horizontal="center" vertical="center" shrinkToFit="1"/>
      <protection hidden="1"/>
    </xf>
    <xf numFmtId="0" fontId="2" fillId="0" borderId="16" xfId="58" applyFont="1" applyFill="1" applyBorder="1" applyAlignment="1" applyProtection="1">
      <alignment horizontal="center" vertical="center" shrinkToFit="1"/>
      <protection hidden="1"/>
    </xf>
    <xf numFmtId="0" fontId="10" fillId="0" borderId="16" xfId="58" applyFont="1" applyFill="1" applyBorder="1" applyAlignment="1" applyProtection="1">
      <alignment horizontal="center" vertical="center" shrinkToFit="1"/>
      <protection hidden="1"/>
    </xf>
    <xf numFmtId="0" fontId="4" fillId="0" borderId="16" xfId="58" applyFont="1" applyFill="1" applyBorder="1" applyAlignment="1" applyProtection="1">
      <alignment horizontal="center" vertical="center" shrinkToFit="1"/>
      <protection hidden="1"/>
    </xf>
    <xf numFmtId="0" fontId="5" fillId="0" borderId="16" xfId="58" applyFont="1" applyFill="1" applyBorder="1" applyAlignment="1" applyProtection="1">
      <alignment horizontal="center" vertical="center" shrinkToFit="1"/>
      <protection hidden="1"/>
    </xf>
    <xf numFmtId="0" fontId="5" fillId="0" borderId="16" xfId="58" applyFont="1" applyFill="1" applyBorder="1" applyAlignment="1" applyProtection="1">
      <alignment horizontal="center" vertical="center" shrinkToFit="1"/>
      <protection hidden="1"/>
    </xf>
    <xf numFmtId="178" fontId="5" fillId="0" borderId="16" xfId="58" applyNumberFormat="1" applyFont="1" applyFill="1" applyBorder="1" applyAlignment="1" applyProtection="1">
      <alignment horizontal="center" vertical="center" shrinkToFit="1"/>
      <protection hidden="1"/>
    </xf>
    <xf numFmtId="178" fontId="2" fillId="0" borderId="17" xfId="58" applyNumberFormat="1" applyFont="1" applyFill="1" applyBorder="1" applyAlignment="1" applyProtection="1">
      <alignment horizontal="center" vertical="center" shrinkToFit="1"/>
      <protection hidden="1"/>
    </xf>
    <xf numFmtId="178" fontId="5" fillId="0" borderId="0" xfId="58" applyNumberFormat="1" applyFont="1" applyFill="1" applyAlignment="1" applyProtection="1">
      <alignment horizontal="center" vertical="center" shrinkToFit="1"/>
      <protection hidden="1"/>
    </xf>
    <xf numFmtId="176" fontId="6" fillId="0" borderId="0" xfId="58" applyNumberFormat="1" applyFont="1" applyFill="1" applyAlignment="1" applyProtection="1">
      <alignment horizontal="center" vertical="center"/>
      <protection hidden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" xfId="49"/>
    <cellStyle name="百分比 2" xfId="50"/>
    <cellStyle name="差_Sheet1" xfId="51"/>
    <cellStyle name="差_Sheet1_1" xfId="52"/>
    <cellStyle name="常规 2" xfId="53"/>
    <cellStyle name="常规 2 2" xfId="54"/>
    <cellStyle name="常规 3" xfId="55"/>
    <cellStyle name="常规 3 2" xfId="56"/>
    <cellStyle name="常规 5" xfId="57"/>
    <cellStyle name="常规_博会评估" xfId="58"/>
    <cellStyle name="常规_博会评估 2" xfId="59"/>
    <cellStyle name="常规_装修表" xfId="60"/>
    <cellStyle name="好_Sheet1" xfId="6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showZeros="0" tabSelected="1" workbookViewId="0">
      <selection activeCell="O9" sqref="O9"/>
    </sheetView>
  </sheetViews>
  <sheetFormatPr defaultColWidth="9" defaultRowHeight="16.5" customHeight="1"/>
  <cols>
    <col min="1" max="1" width="10" style="103" customWidth="1"/>
    <col min="2" max="2" width="6.7" style="103" customWidth="1"/>
    <col min="3" max="3" width="20.7" style="103" customWidth="1"/>
    <col min="4" max="4" width="15.7" style="103" customWidth="1"/>
    <col min="5" max="6" width="8.2" style="103" customWidth="1"/>
    <col min="7" max="7" width="9.4" style="103" customWidth="1"/>
    <col min="8" max="8" width="9.2" style="103" customWidth="1"/>
    <col min="9" max="9" width="7.1" style="103" customWidth="1"/>
    <col min="10" max="10" width="10.7" style="103" customWidth="1"/>
    <col min="11" max="11" width="10.7" style="104" customWidth="1"/>
    <col min="12" max="12" width="10.7" style="103" customWidth="1"/>
    <col min="13" max="16384" width="9" style="103"/>
  </cols>
  <sheetData>
    <row r="1" s="97" customFormat="1" ht="30" customHeight="1" spans="1:12">
      <c r="A1" s="105" t="s">
        <v>0</v>
      </c>
      <c r="B1" s="105"/>
      <c r="C1" s="105"/>
      <c r="D1" s="105"/>
      <c r="E1" s="105"/>
      <c r="F1" s="105"/>
      <c r="G1" s="106"/>
      <c r="H1" s="106"/>
      <c r="I1" s="106"/>
      <c r="J1" s="105"/>
      <c r="K1" s="105"/>
      <c r="L1" s="105"/>
    </row>
    <row r="2" s="97" customFormat="1" ht="19.95" customHeight="1" spans="1:12">
      <c r="A2" s="107" t="s">
        <v>1</v>
      </c>
      <c r="B2" s="107"/>
      <c r="C2" s="107"/>
      <c r="D2" s="107"/>
      <c r="E2" s="107"/>
      <c r="F2" s="107"/>
      <c r="G2" s="108"/>
      <c r="H2" s="108"/>
      <c r="I2" s="108"/>
      <c r="J2" s="107"/>
      <c r="K2" s="107"/>
      <c r="L2" s="107"/>
    </row>
    <row r="3" s="98" customFormat="1" ht="22" customHeight="1" spans="1:12">
      <c r="A3" s="109" t="s">
        <v>2</v>
      </c>
      <c r="B3" s="109"/>
      <c r="C3" s="109"/>
      <c r="D3" s="110" t="s">
        <v>3</v>
      </c>
      <c r="E3" s="111" t="s">
        <v>4</v>
      </c>
      <c r="F3" s="111"/>
      <c r="G3" s="112"/>
      <c r="H3" s="112"/>
      <c r="I3" s="112"/>
      <c r="J3" s="113" t="s">
        <v>5</v>
      </c>
    </row>
    <row r="4" s="98" customFormat="1" ht="22" customHeight="1" spans="1:12">
      <c r="A4" s="109"/>
      <c r="B4" s="109"/>
      <c r="C4" s="109"/>
      <c r="D4" s="110" t="s">
        <v>6</v>
      </c>
      <c r="E4" s="111"/>
      <c r="F4" s="111"/>
      <c r="G4" s="112"/>
      <c r="H4" s="112"/>
      <c r="I4" s="112"/>
      <c r="J4" s="114" t="s">
        <v>7</v>
      </c>
      <c r="K4" s="113"/>
      <c r="L4" s="113"/>
    </row>
    <row r="5" s="99" customFormat="1" ht="19.95" customHeight="1" spans="1:12">
      <c r="A5" s="115" t="s">
        <v>8</v>
      </c>
      <c r="B5" s="116" t="s">
        <v>9</v>
      </c>
      <c r="C5" s="116" t="s">
        <v>10</v>
      </c>
      <c r="D5" s="117" t="s">
        <v>11</v>
      </c>
      <c r="E5" s="117" t="s">
        <v>12</v>
      </c>
      <c r="F5" s="117" t="s">
        <v>13</v>
      </c>
      <c r="G5" s="118" t="s">
        <v>14</v>
      </c>
      <c r="H5" s="118" t="s">
        <v>15</v>
      </c>
      <c r="I5" s="118" t="s">
        <v>16</v>
      </c>
      <c r="J5" s="117" t="s">
        <v>17</v>
      </c>
      <c r="K5" s="119" t="s">
        <v>18</v>
      </c>
      <c r="L5" s="120" t="s">
        <v>19</v>
      </c>
    </row>
    <row r="6" s="100" customFormat="1" ht="19.95" customHeight="1" spans="1:12">
      <c r="A6" s="121"/>
      <c r="B6" s="122">
        <v>1</v>
      </c>
      <c r="C6" s="123"/>
      <c r="D6" s="123"/>
      <c r="E6" s="124"/>
      <c r="F6" s="125"/>
      <c r="G6" s="126"/>
      <c r="H6" s="127"/>
      <c r="I6" s="128"/>
      <c r="J6" s="125"/>
      <c r="K6" s="129"/>
      <c r="L6" s="130"/>
    </row>
    <row r="7" s="100" customFormat="1" ht="19.95" customHeight="1" spans="1:12">
      <c r="A7" s="121"/>
      <c r="B7" s="122">
        <v>2</v>
      </c>
      <c r="C7" s="123"/>
      <c r="D7" s="131"/>
      <c r="E7" s="124"/>
      <c r="F7" s="125"/>
      <c r="G7" s="126"/>
      <c r="H7" s="127"/>
      <c r="I7" s="128"/>
      <c r="J7" s="125"/>
      <c r="K7" s="129"/>
      <c r="L7" s="130"/>
    </row>
    <row r="8" s="100" customFormat="1" ht="19.95" customHeight="1" spans="1:12">
      <c r="A8" s="121"/>
      <c r="B8" s="122">
        <v>3</v>
      </c>
      <c r="C8" s="123"/>
      <c r="D8" s="131"/>
      <c r="E8" s="124"/>
      <c r="F8" s="125"/>
      <c r="G8" s="126"/>
      <c r="H8" s="127"/>
      <c r="I8" s="128"/>
      <c r="J8" s="125"/>
      <c r="K8" s="129"/>
      <c r="L8" s="130"/>
    </row>
    <row r="9" s="100" customFormat="1" ht="19.95" customHeight="1" spans="1:12">
      <c r="A9" s="121"/>
      <c r="B9" s="122">
        <v>4</v>
      </c>
      <c r="C9" s="123"/>
      <c r="D9" s="131"/>
      <c r="E9" s="124"/>
      <c r="F9" s="125"/>
      <c r="G9" s="126"/>
      <c r="H9" s="127"/>
      <c r="I9" s="128"/>
      <c r="J9" s="125"/>
      <c r="K9" s="129"/>
      <c r="L9" s="130"/>
    </row>
    <row r="10" s="100" customFormat="1" ht="19.95" customHeight="1" spans="1:12">
      <c r="A10" s="121"/>
      <c r="B10" s="122">
        <v>5</v>
      </c>
      <c r="C10" s="123"/>
      <c r="D10" s="131"/>
      <c r="E10" s="124"/>
      <c r="F10" s="125"/>
      <c r="G10" s="126"/>
      <c r="H10" s="127"/>
      <c r="I10" s="128"/>
      <c r="J10" s="125"/>
      <c r="K10" s="129"/>
      <c r="L10" s="130"/>
    </row>
    <row r="11" s="100" customFormat="1" ht="19.95" customHeight="1" spans="1:12">
      <c r="A11" s="121"/>
      <c r="B11" s="122">
        <v>6</v>
      </c>
      <c r="C11" s="123"/>
      <c r="D11" s="131"/>
      <c r="E11" s="124"/>
      <c r="F11" s="125"/>
      <c r="G11" s="126"/>
      <c r="H11" s="127"/>
      <c r="I11" s="128"/>
      <c r="J11" s="125"/>
      <c r="K11" s="129"/>
      <c r="L11" s="130"/>
    </row>
    <row r="12" s="100" customFormat="1" ht="19.95" customHeight="1" spans="1:12">
      <c r="A12" s="121"/>
      <c r="B12" s="122">
        <v>7</v>
      </c>
      <c r="C12" s="123"/>
      <c r="D12" s="131"/>
      <c r="E12" s="124"/>
      <c r="F12" s="125"/>
      <c r="G12" s="126"/>
      <c r="H12" s="127"/>
      <c r="I12" s="128"/>
      <c r="J12" s="125"/>
      <c r="K12" s="129"/>
      <c r="L12" s="130"/>
    </row>
    <row r="13" s="100" customFormat="1" ht="19.95" customHeight="1" spans="1:12">
      <c r="A13" s="132" t="s">
        <v>20</v>
      </c>
      <c r="B13" s="133"/>
      <c r="C13" s="133"/>
      <c r="D13" s="134"/>
      <c r="E13" s="135"/>
      <c r="F13" s="136"/>
      <c r="G13" s="137"/>
      <c r="H13" s="138"/>
      <c r="I13" s="139"/>
      <c r="J13" s="136"/>
      <c r="K13" s="140">
        <f>SUM(K6:K12)</f>
        <v>0</v>
      </c>
      <c r="L13" s="141"/>
    </row>
    <row r="14" s="100" customFormat="1" ht="19.95" customHeight="1" spans="1:12">
      <c r="A14" s="142" t="s">
        <v>21</v>
      </c>
      <c r="B14" s="143" t="s">
        <v>9</v>
      </c>
      <c r="C14" s="143" t="s">
        <v>22</v>
      </c>
      <c r="D14" s="144" t="s">
        <v>23</v>
      </c>
      <c r="E14" s="144" t="s">
        <v>12</v>
      </c>
      <c r="F14" s="144" t="s">
        <v>13</v>
      </c>
      <c r="G14" s="145"/>
      <c r="H14" s="146"/>
      <c r="I14" s="147"/>
      <c r="J14" s="144" t="s">
        <v>17</v>
      </c>
      <c r="K14" s="148" t="s">
        <v>18</v>
      </c>
      <c r="L14" s="149" t="s">
        <v>19</v>
      </c>
    </row>
    <row r="15" s="100" customFormat="1" ht="19.95" customHeight="1" spans="1:12">
      <c r="A15" s="142"/>
      <c r="B15" s="123">
        <v>1</v>
      </c>
      <c r="C15" s="123"/>
      <c r="D15" s="131"/>
      <c r="E15" s="124"/>
      <c r="F15" s="125"/>
      <c r="G15" s="126"/>
      <c r="H15" s="127"/>
      <c r="I15" s="128"/>
      <c r="J15" s="125"/>
      <c r="K15" s="150"/>
      <c r="L15" s="130"/>
    </row>
    <row r="16" s="100" customFormat="1" ht="19.95" customHeight="1" spans="1:12">
      <c r="A16" s="142"/>
      <c r="B16" s="123">
        <v>2</v>
      </c>
      <c r="C16" s="123"/>
      <c r="D16" s="131"/>
      <c r="E16" s="124"/>
      <c r="F16" s="125"/>
      <c r="G16" s="126"/>
      <c r="H16" s="127"/>
      <c r="I16" s="128"/>
      <c r="J16" s="125"/>
      <c r="K16" s="129"/>
      <c r="L16" s="130"/>
    </row>
    <row r="17" s="100" customFormat="1" ht="19.95" customHeight="1" spans="1:13">
      <c r="A17" s="151" t="s">
        <v>20</v>
      </c>
      <c r="B17" s="152"/>
      <c r="C17" s="152"/>
      <c r="D17" s="134"/>
      <c r="E17" s="135"/>
      <c r="F17" s="136"/>
      <c r="G17" s="137"/>
      <c r="H17" s="138"/>
      <c r="I17" s="139"/>
      <c r="J17" s="136"/>
      <c r="K17" s="140">
        <f>SUM(K15:K16)</f>
        <v>0</v>
      </c>
      <c r="L17" s="141"/>
    </row>
    <row r="18" s="101" customFormat="1" ht="19.95" customHeight="1" spans="1:13">
      <c r="A18" s="153" t="s">
        <v>24</v>
      </c>
      <c r="B18" s="154"/>
      <c r="C18" s="154"/>
      <c r="D18" s="155"/>
      <c r="E18" s="156"/>
      <c r="F18" s="157"/>
      <c r="G18" s="158"/>
      <c r="H18" s="158"/>
      <c r="I18" s="158"/>
      <c r="J18" s="157"/>
      <c r="K18" s="159"/>
      <c r="L18" s="160"/>
      <c r="M18" s="161"/>
    </row>
    <row r="19" s="102" customFormat="1" customHeight="1" spans="1:13">
      <c r="K19" s="162"/>
    </row>
  </sheetData>
  <mergeCells count="12">
    <mergeCell ref="A1:L1"/>
    <mergeCell ref="A2:L2"/>
    <mergeCell ref="E3:I3"/>
    <mergeCell ref="J3:L3"/>
    <mergeCell ref="E4:I4"/>
    <mergeCell ref="K4:L4"/>
    <mergeCell ref="A13:C13"/>
    <mergeCell ref="A17:C17"/>
    <mergeCell ref="A18:C18"/>
    <mergeCell ref="A5:A12"/>
    <mergeCell ref="A14:A16"/>
    <mergeCell ref="A3:C4"/>
  </mergeCells>
  <printOptions horizontalCentered="1"/>
  <pageMargins left="0.550694444444444" right="0.550694444444444" top="0.559027777777778" bottom="0.786805555555556" header="0.338194444444444" footer="0.511805555555556"/>
  <pageSetup paperSize="9" scale="75" orientation="portrait" blackAndWhite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showZeros="0" workbookViewId="0">
      <selection activeCell="H3" sqref="H$1:J$1048576"/>
    </sheetView>
  </sheetViews>
  <sheetFormatPr defaultColWidth="9" defaultRowHeight="16.5" customHeight="1"/>
  <cols>
    <col min="1" max="1" width="10" style="8" customWidth="1"/>
    <col min="2" max="2" width="11.5" style="9" customWidth="1"/>
    <col min="3" max="3" width="6.7" style="8" customWidth="1"/>
    <col min="4" max="4" width="20.7" style="8" customWidth="1"/>
    <col min="5" max="5" width="15.7" style="8" customWidth="1"/>
    <col min="6" max="7" width="8.2" style="8" customWidth="1"/>
    <col min="8" max="8" width="9.4" style="9" customWidth="1"/>
    <col min="9" max="9" width="9.2" style="9" customWidth="1"/>
    <col min="10" max="10" width="7.1" style="9" customWidth="1"/>
    <col min="11" max="11" width="10.7" style="8" customWidth="1"/>
    <col min="12" max="12" width="10.7" style="10" customWidth="1"/>
    <col min="13" max="13" width="10.7" style="8" customWidth="1"/>
    <col min="14" max="16384" width="9" style="8"/>
  </cols>
  <sheetData>
    <row r="1" s="1" customFormat="1" ht="30" customHeight="1" spans="1:15">
      <c r="A1" s="11" t="s">
        <v>0</v>
      </c>
      <c r="B1" s="12"/>
      <c r="C1" s="11"/>
      <c r="D1" s="11"/>
      <c r="E1" s="11"/>
      <c r="F1" s="11"/>
      <c r="G1" s="11"/>
      <c r="H1" s="12"/>
      <c r="I1" s="12"/>
      <c r="J1" s="12"/>
      <c r="K1" s="11"/>
      <c r="L1" s="11"/>
      <c r="M1" s="11"/>
    </row>
    <row r="2" s="1" customFormat="1" ht="19.95" customHeight="1" spans="1:15">
      <c r="A2" s="13" t="s">
        <v>25</v>
      </c>
      <c r="B2" s="14"/>
      <c r="C2" s="13"/>
      <c r="D2" s="13"/>
      <c r="E2" s="13"/>
      <c r="F2" s="13"/>
      <c r="G2" s="13"/>
      <c r="H2" s="14"/>
      <c r="I2" s="14"/>
      <c r="J2" s="14"/>
      <c r="K2" s="13"/>
      <c r="L2" s="13"/>
      <c r="M2" s="13"/>
    </row>
    <row r="3" s="2" customFormat="1" ht="22" customHeight="1" spans="1:15">
      <c r="A3" s="15" t="s">
        <v>2</v>
      </c>
      <c r="B3" s="16"/>
      <c r="C3" s="15" t="s">
        <v>26</v>
      </c>
      <c r="D3" s="15"/>
      <c r="E3" s="17" t="s">
        <v>27</v>
      </c>
      <c r="F3" s="18">
        <v>45076</v>
      </c>
      <c r="G3" s="18"/>
      <c r="H3" s="16"/>
      <c r="I3" s="19"/>
      <c r="J3" s="19"/>
      <c r="K3" s="20"/>
      <c r="L3" s="15"/>
      <c r="M3" s="21" t="s">
        <v>5</v>
      </c>
    </row>
    <row r="4" s="2" customFormat="1" ht="22" customHeight="1" spans="1:15">
      <c r="A4" s="15"/>
      <c r="B4" s="16"/>
      <c r="C4" s="15" t="s">
        <v>28</v>
      </c>
      <c r="D4" s="22" t="s">
        <v>29</v>
      </c>
      <c r="E4" s="17"/>
      <c r="F4" s="18"/>
      <c r="G4" s="18"/>
      <c r="H4" s="16"/>
      <c r="I4" s="19"/>
      <c r="J4" s="19"/>
      <c r="K4" s="21" t="s">
        <v>7</v>
      </c>
      <c r="L4" s="23" t="s">
        <v>30</v>
      </c>
      <c r="M4" s="23"/>
    </row>
    <row r="5" s="3" customFormat="1" ht="19.95" customHeight="1" spans="1:15">
      <c r="A5" s="24" t="s">
        <v>8</v>
      </c>
      <c r="B5" s="25" t="s">
        <v>31</v>
      </c>
      <c r="C5" s="26" t="s">
        <v>9</v>
      </c>
      <c r="D5" s="26" t="s">
        <v>10</v>
      </c>
      <c r="E5" s="27" t="s">
        <v>11</v>
      </c>
      <c r="F5" s="27" t="s">
        <v>12</v>
      </c>
      <c r="G5" s="27" t="s">
        <v>13</v>
      </c>
      <c r="H5" s="28" t="s">
        <v>14</v>
      </c>
      <c r="I5" s="28" t="s">
        <v>15</v>
      </c>
      <c r="J5" s="28" t="s">
        <v>16</v>
      </c>
      <c r="K5" s="27" t="s">
        <v>17</v>
      </c>
      <c r="L5" s="29" t="s">
        <v>18</v>
      </c>
      <c r="M5" s="30" t="s">
        <v>19</v>
      </c>
      <c r="O5" s="3" t="e">
        <f>L28</f>
        <v>#REF!</v>
      </c>
    </row>
    <row r="6" s="4" customFormat="1" ht="19.95" customHeight="1" spans="1:15">
      <c r="A6" s="31"/>
      <c r="B6" s="32" t="s">
        <v>32</v>
      </c>
      <c r="C6" s="33">
        <v>1</v>
      </c>
      <c r="D6" s="34" t="e">
        <f>VLOOKUP(B6,#REF!,2,0)</f>
        <v>#REF!</v>
      </c>
      <c r="E6" s="34"/>
      <c r="F6" s="35" t="e">
        <f>VLOOKUP(B6,#REF!,4,0)</f>
        <v>#REF!</v>
      </c>
      <c r="G6" s="36">
        <f>12*8+3.1*2+5.5*7</f>
        <v>140.7</v>
      </c>
      <c r="H6" s="37" t="e">
        <f>VLOOKUP(B6,#REF!,6,0)</f>
        <v>#REF!</v>
      </c>
      <c r="I6" s="38" t="e">
        <f t="shared" ref="I6:I12" si="0">ROUND(G6*H6,0)</f>
        <v>#REF!</v>
      </c>
      <c r="J6" s="39">
        <v>0.7</v>
      </c>
      <c r="K6" s="40" t="e">
        <f t="shared" ref="K6:K12" si="1">ROUND(H6*J6,0)</f>
        <v>#REF!</v>
      </c>
      <c r="L6" s="41" t="e">
        <f>IF(H6=0,VLOOKUP(B6,#REF!,5,0)*G6,ROUND(G6*K6,0))</f>
        <v>#REF!</v>
      </c>
      <c r="M6" s="42"/>
    </row>
    <row r="7" s="4" customFormat="1" ht="19.95" customHeight="1" spans="1:15">
      <c r="A7" s="31"/>
      <c r="B7" s="32" t="s">
        <v>33</v>
      </c>
      <c r="C7" s="33">
        <v>2</v>
      </c>
      <c r="D7" s="34" t="e">
        <f>VLOOKUP(B7,#REF!,2,0)</f>
        <v>#REF!</v>
      </c>
      <c r="E7" s="43"/>
      <c r="F7" s="35" t="e">
        <f>VLOOKUP(B7,#REF!,4,0)</f>
        <v>#REF!</v>
      </c>
      <c r="G7" s="36">
        <f>20*2.6</f>
        <v>52</v>
      </c>
      <c r="H7" s="37" t="e">
        <f>VLOOKUP(B7,#REF!,6,0)</f>
        <v>#REF!</v>
      </c>
      <c r="I7" s="38" t="e">
        <f t="shared" si="0"/>
        <v>#REF!</v>
      </c>
      <c r="J7" s="39">
        <v>0.7</v>
      </c>
      <c r="K7" s="40" t="e">
        <f t="shared" si="1"/>
        <v>#REF!</v>
      </c>
      <c r="L7" s="41" t="e">
        <f>IF(H7=0,VLOOKUP(B7,#REF!,5,0)*G7,ROUND(G7*K7,0))</f>
        <v>#REF!</v>
      </c>
      <c r="M7" s="42" t="e">
        <f>VLOOKUP(B7,#REF!,8,0)</f>
        <v>#REF!</v>
      </c>
    </row>
    <row r="8" s="4" customFormat="1" ht="19.95" customHeight="1" spans="1:15">
      <c r="A8" s="31"/>
      <c r="B8" s="32"/>
      <c r="C8" s="33">
        <v>3</v>
      </c>
      <c r="D8" s="34" t="s">
        <v>34</v>
      </c>
      <c r="E8" s="43" t="s">
        <v>35</v>
      </c>
      <c r="F8" s="35" t="s">
        <v>36</v>
      </c>
      <c r="G8" s="36">
        <v>1</v>
      </c>
      <c r="H8" s="37">
        <v>680</v>
      </c>
      <c r="I8" s="38">
        <f t="shared" si="0"/>
        <v>680</v>
      </c>
      <c r="J8" s="39">
        <v>0.7</v>
      </c>
      <c r="K8" s="40">
        <f t="shared" si="1"/>
        <v>476</v>
      </c>
      <c r="L8" s="41">
        <f>IF(H8=0,VLOOKUP(B8,#REF!,5,0)*G8,ROUND(G8*K8,0))</f>
        <v>476</v>
      </c>
      <c r="M8" s="42"/>
      <c r="O8" s="44">
        <f>0.4*0.4*3*580+0.4*4*3*12</f>
        <v>336</v>
      </c>
    </row>
    <row r="9" s="4" customFormat="1" ht="19.95" customHeight="1" spans="1:15">
      <c r="A9" s="31"/>
      <c r="B9" s="32" t="s">
        <v>37</v>
      </c>
      <c r="C9" s="33">
        <v>4</v>
      </c>
      <c r="D9" s="34" t="e">
        <f>VLOOKUP(B9,#REF!,2,0)</f>
        <v>#REF!</v>
      </c>
      <c r="E9" s="43"/>
      <c r="F9" s="35" t="e">
        <f>VLOOKUP(B9,#REF!,4,0)</f>
        <v>#REF!</v>
      </c>
      <c r="G9" s="36">
        <f>3.1*3.2</f>
        <v>9.92</v>
      </c>
      <c r="H9" s="37" t="e">
        <f>VLOOKUP(B9,#REF!,6,0)</f>
        <v>#REF!</v>
      </c>
      <c r="I9" s="38" t="e">
        <f t="shared" si="0"/>
        <v>#REF!</v>
      </c>
      <c r="J9" s="39">
        <v>0.7</v>
      </c>
      <c r="K9" s="40" t="e">
        <f t="shared" si="1"/>
        <v>#REF!</v>
      </c>
      <c r="L9" s="41" t="e">
        <f>IF(H9=0,VLOOKUP(B9,#REF!,5,0)*G9,ROUND(G9*K9,0))</f>
        <v>#REF!</v>
      </c>
      <c r="M9" s="42" t="e">
        <f>VLOOKUP(B9,#REF!,8,0)</f>
        <v>#REF!</v>
      </c>
    </row>
    <row r="10" s="4" customFormat="1" ht="19.95" customHeight="1" spans="1:15">
      <c r="A10" s="31"/>
      <c r="B10" s="32" t="s">
        <v>38</v>
      </c>
      <c r="C10" s="33">
        <v>5</v>
      </c>
      <c r="D10" s="34" t="e">
        <f>VLOOKUP(B10,#REF!,2,0)</f>
        <v>#REF!</v>
      </c>
      <c r="E10" s="43"/>
      <c r="F10" s="35" t="e">
        <f>VLOOKUP(B10,#REF!,4,0)</f>
        <v>#REF!</v>
      </c>
      <c r="G10" s="36">
        <v>1</v>
      </c>
      <c r="H10" s="37" t="e">
        <f>VLOOKUP(B10,#REF!,6,0)</f>
        <v>#REF!</v>
      </c>
      <c r="I10" s="38" t="e">
        <f t="shared" si="0"/>
        <v>#REF!</v>
      </c>
      <c r="J10" s="39">
        <v>0.7</v>
      </c>
      <c r="K10" s="40" t="e">
        <f t="shared" si="1"/>
        <v>#REF!</v>
      </c>
      <c r="L10" s="41" t="e">
        <f>IF(H10=0,VLOOKUP(B10,#REF!,5,0)*G10,ROUND(G10*K10,0))</f>
        <v>#REF!</v>
      </c>
      <c r="M10" s="42" t="e">
        <f>VLOOKUP(B10,#REF!,8,0)</f>
        <v>#REF!</v>
      </c>
    </row>
    <row r="11" s="4" customFormat="1" ht="19.95" customHeight="1" spans="1:15">
      <c r="A11" s="31"/>
      <c r="B11" s="32" t="s">
        <v>32</v>
      </c>
      <c r="C11" s="33"/>
      <c r="D11" s="34" t="e">
        <f>VLOOKUP(B11,#REF!,2,0)</f>
        <v>#REF!</v>
      </c>
      <c r="E11" s="43"/>
      <c r="F11" s="35" t="e">
        <f>VLOOKUP(B11,#REF!,4,0)</f>
        <v>#REF!</v>
      </c>
      <c r="G11" s="36">
        <v>1</v>
      </c>
      <c r="H11" s="37" t="e">
        <f>VLOOKUP(B11,#REF!,6,0)</f>
        <v>#REF!</v>
      </c>
      <c r="I11" s="38" t="e">
        <f t="shared" si="0"/>
        <v>#REF!</v>
      </c>
      <c r="J11" s="39">
        <v>0.7</v>
      </c>
      <c r="K11" s="40" t="e">
        <f t="shared" si="1"/>
        <v>#REF!</v>
      </c>
      <c r="L11" s="41" t="e">
        <f>IF(H11=0,VLOOKUP(B11,#REF!,5,0)*G11,ROUND(G11*K11,0))</f>
        <v>#REF!</v>
      </c>
      <c r="M11" s="42" t="e">
        <f>VLOOKUP(B11,#REF!,8,0)</f>
        <v>#REF!</v>
      </c>
    </row>
    <row r="12" s="4" customFormat="1" ht="19.95" customHeight="1" spans="1:15">
      <c r="A12" s="31"/>
      <c r="B12" s="32"/>
      <c r="C12" s="33">
        <v>6</v>
      </c>
      <c r="D12" s="34" t="s">
        <v>39</v>
      </c>
      <c r="E12" s="43" t="s">
        <v>40</v>
      </c>
      <c r="F12" s="35" t="s">
        <v>41</v>
      </c>
      <c r="G12" s="36">
        <v>5</v>
      </c>
      <c r="H12" s="37">
        <v>160</v>
      </c>
      <c r="I12" s="38">
        <f t="shared" si="0"/>
        <v>800</v>
      </c>
      <c r="J12" s="39">
        <v>0.7</v>
      </c>
      <c r="K12" s="40">
        <f t="shared" si="1"/>
        <v>112</v>
      </c>
      <c r="L12" s="41">
        <f>IF(H12=0,VLOOKUP(B12,#REF!,5,0)*G12,ROUND(G12*K12,0))</f>
        <v>560</v>
      </c>
      <c r="M12" s="42"/>
      <c r="O12" s="4">
        <f>0.6*0.6*450</f>
        <v>162</v>
      </c>
    </row>
    <row r="13" s="4" customFormat="1" ht="19.95" customHeight="1" spans="1:15">
      <c r="A13" s="45" t="s">
        <v>20</v>
      </c>
      <c r="B13" s="46"/>
      <c r="C13" s="47"/>
      <c r="D13" s="47"/>
      <c r="E13" s="48"/>
      <c r="F13" s="49"/>
      <c r="G13" s="50"/>
      <c r="H13" s="51"/>
      <c r="I13" s="52"/>
      <c r="J13" s="53"/>
      <c r="K13" s="54"/>
      <c r="L13" s="55" t="e">
        <f>SUM(L6:L12)</f>
        <v>#REF!</v>
      </c>
      <c r="M13" s="56"/>
    </row>
    <row r="14" s="4" customFormat="1" ht="19.95" customHeight="1" spans="1:15">
      <c r="A14" s="57" t="s">
        <v>21</v>
      </c>
      <c r="B14" s="58"/>
      <c r="C14" s="59" t="s">
        <v>9</v>
      </c>
      <c r="D14" s="59" t="s">
        <v>22</v>
      </c>
      <c r="E14" s="60" t="s">
        <v>23</v>
      </c>
      <c r="F14" s="60" t="s">
        <v>12</v>
      </c>
      <c r="G14" s="60" t="s">
        <v>13</v>
      </c>
      <c r="H14" s="61"/>
      <c r="I14" s="62"/>
      <c r="J14" s="63"/>
      <c r="K14" s="60" t="s">
        <v>17</v>
      </c>
      <c r="L14" s="64" t="s">
        <v>18</v>
      </c>
      <c r="M14" s="65" t="s">
        <v>19</v>
      </c>
    </row>
    <row r="15" s="4" customFormat="1" ht="19.95" customHeight="1" spans="1:15">
      <c r="A15" s="57"/>
      <c r="B15" s="66"/>
      <c r="C15" s="67">
        <v>1</v>
      </c>
      <c r="D15" s="34" t="s">
        <v>42</v>
      </c>
      <c r="E15" s="43"/>
      <c r="F15" s="35" t="s">
        <v>43</v>
      </c>
      <c r="G15" s="36"/>
      <c r="H15" s="37"/>
      <c r="I15" s="38"/>
      <c r="J15" s="39"/>
      <c r="K15" s="40"/>
      <c r="L15" s="68"/>
      <c r="M15" s="42" t="s">
        <v>44</v>
      </c>
    </row>
    <row r="16" s="4" customFormat="1" ht="19.95" customHeight="1" spans="1:15">
      <c r="A16" s="57"/>
      <c r="B16" s="66" t="s">
        <v>45</v>
      </c>
      <c r="C16" s="67">
        <v>2</v>
      </c>
      <c r="D16" s="34" t="e">
        <f>VLOOKUP(B16,#REF!,2,0)</f>
        <v>#REF!</v>
      </c>
      <c r="E16" s="43"/>
      <c r="F16" s="35" t="e">
        <f>VLOOKUP(B16,#REF!,4,0)</f>
        <v>#REF!</v>
      </c>
      <c r="G16" s="36">
        <v>1</v>
      </c>
      <c r="H16" s="37" t="e">
        <f>VLOOKUP(B16,#REF!,6,0)</f>
        <v>#REF!</v>
      </c>
      <c r="I16" s="38" t="e">
        <f>ROUND(G16*H16,0)</f>
        <v>#REF!</v>
      </c>
      <c r="J16" s="39"/>
      <c r="K16" s="40" t="e">
        <f>L16/G16</f>
        <v>#REF!</v>
      </c>
      <c r="L16" s="41" t="e">
        <f>IF(H16=0,VLOOKUP(B16,#REF!,5,0)*G16,ROUND(G16*K16,0))</f>
        <v>#REF!</v>
      </c>
      <c r="M16" s="42" t="e">
        <f>VLOOKUP(B16,#REF!,8,0)</f>
        <v>#REF!</v>
      </c>
    </row>
    <row r="17" s="4" customFormat="1" ht="19.95" customHeight="1" spans="1:14">
      <c r="A17" s="57"/>
      <c r="B17" s="66"/>
      <c r="C17" s="67">
        <v>3</v>
      </c>
      <c r="D17" s="34"/>
      <c r="E17" s="43"/>
      <c r="F17" s="35"/>
      <c r="G17" s="36"/>
      <c r="H17" s="37"/>
      <c r="I17" s="38"/>
      <c r="J17" s="39"/>
      <c r="K17" s="40"/>
      <c r="L17" s="68"/>
      <c r="M17" s="42"/>
    </row>
    <row r="18" s="4" customFormat="1" ht="19.95" customHeight="1" spans="1:14">
      <c r="A18" s="57"/>
      <c r="B18" s="66"/>
      <c r="C18" s="67">
        <v>4</v>
      </c>
      <c r="D18" s="34"/>
      <c r="E18" s="43"/>
      <c r="F18" s="35"/>
      <c r="G18" s="36"/>
      <c r="H18" s="37"/>
      <c r="I18" s="38"/>
      <c r="J18" s="39"/>
      <c r="K18" s="40"/>
      <c r="L18" s="68"/>
      <c r="M18" s="42"/>
    </row>
    <row r="19" s="4" customFormat="1" ht="19.95" customHeight="1" spans="1:14">
      <c r="A19" s="69"/>
      <c r="B19" s="66"/>
      <c r="C19" s="67">
        <v>5</v>
      </c>
      <c r="D19" s="34"/>
      <c r="E19" s="43"/>
      <c r="F19" s="35"/>
      <c r="G19" s="36"/>
      <c r="H19" s="37"/>
      <c r="I19" s="38"/>
      <c r="J19" s="39"/>
      <c r="K19" s="40"/>
      <c r="L19" s="68"/>
      <c r="M19" s="42"/>
    </row>
    <row r="20" s="4" customFormat="1" ht="19.95" customHeight="1" spans="1:14">
      <c r="A20" s="70" t="s">
        <v>20</v>
      </c>
      <c r="B20" s="71"/>
      <c r="C20" s="72"/>
      <c r="D20" s="72"/>
      <c r="E20" s="48"/>
      <c r="F20" s="49"/>
      <c r="G20" s="50"/>
      <c r="H20" s="51"/>
      <c r="I20" s="52"/>
      <c r="J20" s="53"/>
      <c r="K20" s="54"/>
      <c r="L20" s="73" t="e">
        <f>SUM(L15:L19)</f>
        <v>#REF!</v>
      </c>
      <c r="M20" s="56"/>
    </row>
    <row r="21" s="5" customFormat="1" ht="19.95" customHeight="1" spans="1:14">
      <c r="A21" s="74" t="s">
        <v>46</v>
      </c>
      <c r="B21" s="75"/>
      <c r="C21" s="26" t="s">
        <v>9</v>
      </c>
      <c r="D21" s="26" t="s">
        <v>47</v>
      </c>
      <c r="E21" s="27" t="s">
        <v>48</v>
      </c>
      <c r="F21" s="27" t="s">
        <v>12</v>
      </c>
      <c r="G21" s="27" t="s">
        <v>13</v>
      </c>
      <c r="H21" s="76"/>
      <c r="I21" s="77"/>
      <c r="J21" s="78"/>
      <c r="K21" s="27" t="s">
        <v>17</v>
      </c>
      <c r="L21" s="29" t="s">
        <v>18</v>
      </c>
      <c r="M21" s="79" t="s">
        <v>19</v>
      </c>
    </row>
    <row r="22" s="4" customFormat="1" ht="19.95" customHeight="1" spans="1:14">
      <c r="A22" s="80"/>
      <c r="B22" s="32"/>
      <c r="C22" s="67">
        <v>1</v>
      </c>
      <c r="D22" s="34" t="s">
        <v>49</v>
      </c>
      <c r="E22" s="43"/>
      <c r="F22" s="81"/>
      <c r="G22" s="36">
        <v>1</v>
      </c>
      <c r="H22" s="37"/>
      <c r="I22" s="38"/>
      <c r="J22" s="39"/>
      <c r="K22" s="40">
        <v>30</v>
      </c>
      <c r="L22" s="68">
        <f>ROUND(G22*K22,0)</f>
        <v>30</v>
      </c>
      <c r="M22" s="42"/>
    </row>
    <row r="23" s="4" customFormat="1" ht="19.95" customHeight="1" spans="1:14">
      <c r="A23" s="80"/>
      <c r="B23" s="32"/>
      <c r="C23" s="67">
        <v>2</v>
      </c>
      <c r="D23" s="34"/>
      <c r="E23" s="43"/>
      <c r="F23" s="81"/>
      <c r="G23" s="36"/>
      <c r="H23" s="37"/>
      <c r="I23" s="38"/>
      <c r="J23" s="39"/>
      <c r="K23" s="40"/>
      <c r="L23" s="68"/>
      <c r="M23" s="42"/>
    </row>
    <row r="24" s="4" customFormat="1" ht="19.95" customHeight="1" spans="1:14">
      <c r="A24" s="80"/>
      <c r="B24" s="32"/>
      <c r="C24" s="67">
        <v>3</v>
      </c>
      <c r="D24" s="34"/>
      <c r="E24" s="43"/>
      <c r="F24" s="81"/>
      <c r="G24" s="36"/>
      <c r="H24" s="37"/>
      <c r="I24" s="38"/>
      <c r="J24" s="39"/>
      <c r="K24" s="40"/>
      <c r="L24" s="68"/>
      <c r="M24" s="42"/>
    </row>
    <row r="25" s="4" customFormat="1" ht="19.95" customHeight="1" spans="1:14">
      <c r="A25" s="80"/>
      <c r="B25" s="32"/>
      <c r="C25" s="67">
        <v>4</v>
      </c>
      <c r="D25" s="34"/>
      <c r="E25" s="43"/>
      <c r="F25" s="81"/>
      <c r="G25" s="36"/>
      <c r="H25" s="37"/>
      <c r="I25" s="38"/>
      <c r="J25" s="39"/>
      <c r="K25" s="40"/>
      <c r="L25" s="68"/>
      <c r="M25" s="42"/>
    </row>
    <row r="26" s="4" customFormat="1" ht="19.95" customHeight="1" spans="1:14">
      <c r="A26" s="82"/>
      <c r="B26" s="32"/>
      <c r="C26" s="67">
        <v>5</v>
      </c>
      <c r="D26" s="34"/>
      <c r="E26" s="43"/>
      <c r="F26" s="81"/>
      <c r="G26" s="36"/>
      <c r="H26" s="37"/>
      <c r="I26" s="38"/>
      <c r="J26" s="39"/>
      <c r="K26" s="40"/>
      <c r="L26" s="68"/>
      <c r="M26" s="42"/>
    </row>
    <row r="27" s="4" customFormat="1" ht="19.95" customHeight="1" spans="1:14">
      <c r="A27" s="45" t="s">
        <v>20</v>
      </c>
      <c r="B27" s="46"/>
      <c r="C27" s="47"/>
      <c r="D27" s="47"/>
      <c r="E27" s="48"/>
      <c r="F27" s="49"/>
      <c r="G27" s="50"/>
      <c r="H27" s="51"/>
      <c r="I27" s="52"/>
      <c r="J27" s="53"/>
      <c r="K27" s="54"/>
      <c r="L27" s="73">
        <f>SUM(L22:L26)</f>
        <v>30</v>
      </c>
      <c r="M27" s="56"/>
    </row>
    <row r="28" s="6" customFormat="1" ht="19.95" customHeight="1" spans="1:14">
      <c r="A28" s="83" t="s">
        <v>24</v>
      </c>
      <c r="B28" s="84"/>
      <c r="C28" s="85"/>
      <c r="D28" s="85"/>
      <c r="E28" s="86"/>
      <c r="F28" s="87"/>
      <c r="G28" s="88"/>
      <c r="H28" s="89"/>
      <c r="I28" s="89"/>
      <c r="J28" s="89"/>
      <c r="K28" s="88"/>
      <c r="L28" s="90" t="e">
        <f>SUM(L6:L27)/2</f>
        <v>#REF!</v>
      </c>
      <c r="M28" s="91"/>
      <c r="N28" s="92"/>
    </row>
    <row r="29" s="7" customFormat="1" customHeight="1" spans="1:14">
      <c r="A29" s="93"/>
      <c r="B29" s="94"/>
      <c r="C29" s="93"/>
      <c r="H29" s="95"/>
      <c r="I29" s="95"/>
      <c r="J29" s="95"/>
      <c r="L29" s="96"/>
    </row>
  </sheetData>
  <mergeCells count="11">
    <mergeCell ref="A1:M1"/>
    <mergeCell ref="A2:M2"/>
    <mergeCell ref="F3:G3"/>
    <mergeCell ref="L4:M4"/>
    <mergeCell ref="A13:D13"/>
    <mergeCell ref="A20:D20"/>
    <mergeCell ref="A27:D27"/>
    <mergeCell ref="A28:D28"/>
    <mergeCell ref="A5:A12"/>
    <mergeCell ref="A14:A19"/>
    <mergeCell ref="A21:A26"/>
  </mergeCells>
  <printOptions horizontalCentered="1"/>
  <pageMargins left="0.550694444444444" right="0.550694444444444" top="0.559027777777778" bottom="0.786805555555556" header="0.338194444444444" footer="0.511805555555556"/>
  <pageSetup paperSize="9" scale="75" orientation="portrait" blackAndWhit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zzs</dc:creator>
  <cp:lastModifiedBy>蔡蔡</cp:lastModifiedBy>
  <dcterms:created xsi:type="dcterms:W3CDTF">2010-10-12T07:00:00Z</dcterms:created>
  <cp:lastPrinted>2023-08-09T02:00:00Z</cp:lastPrinted>
  <dcterms:modified xsi:type="dcterms:W3CDTF">2026-03-27T06:50:15Z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29C79E32D56642FDA1E4623756F658A7_12</vt:lpwstr>
  </property>
  <property fmtid="{D5CDD505-2E9C-101B-9397-08002B2CF9AE}" pid="4" name="CalculationRule">
    <vt:i4>0</vt:i4>
  </property>
</Properties>
</file>